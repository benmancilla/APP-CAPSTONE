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man\Downloads\"/>
    </mc:Choice>
  </mc:AlternateContent>
  <xr:revisionPtr revIDLastSave="0" documentId="13_ncr:1_{C5336217-2563-46FE-9B09-E015C11608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3" l="1"/>
  <c r="E12" i="3"/>
  <c r="F12" i="3"/>
  <c r="E13" i="3"/>
  <c r="F13" i="3"/>
  <c r="E14" i="3"/>
  <c r="F14" i="3"/>
  <c r="E15" i="3"/>
  <c r="F15" i="3"/>
  <c r="E16" i="3"/>
  <c r="F16" i="3"/>
  <c r="E18" i="3"/>
  <c r="F18" i="3"/>
  <c r="E19" i="3"/>
  <c r="F19" i="3"/>
  <c r="E20" i="3"/>
  <c r="F20" i="3"/>
  <c r="E22" i="3"/>
  <c r="F22" i="3"/>
  <c r="E23" i="3"/>
  <c r="F23" i="3"/>
  <c r="E24" i="3"/>
  <c r="F24" i="3"/>
  <c r="G10" i="3"/>
  <c r="G21" i="3"/>
  <c r="G17" i="3"/>
</calcChain>
</file>

<file path=xl/sharedStrings.xml><?xml version="1.0" encoding="utf-8"?>
<sst xmlns="http://schemas.openxmlformats.org/spreadsheetml/2006/main" count="164" uniqueCount="70">
  <si>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</si>
  <si>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</si>
  <si>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</si>
  <si>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</si>
  <si>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</si>
  <si>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</si>
  <si>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</si>
  <si>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</si>
  <si>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</si>
  <si>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</si>
  <si>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</si>
  <si>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</si>
  <si>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</si>
  <si>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</si>
  <si>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</si>
  <si>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</si>
  <si>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</si>
  <si>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FASE 1</t>
  </si>
  <si>
    <t>FASE 2</t>
  </si>
  <si>
    <t>FASE 3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</si>
  <si>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</si>
  <si>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</si>
  <si>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</si>
  <si>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</si>
  <si>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</si>
  <si>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</si>
  <si>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</si>
  <si>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</si>
  <si>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</si>
  <si>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3.1</t>
  </si>
  <si>
    <t>3.2</t>
  </si>
  <si>
    <t>3.3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</si>
  <si>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</si>
  <si>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</si>
  <si>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</si>
  <si>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</si>
  <si>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</si>
  <si>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</si>
  <si>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</si>
  <si>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</si>
  <si>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</si>
  <si>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</si>
  <si>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</si>
  <si>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</si>
  <si>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</si>
  <si>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</si>
  <si>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</si>
  <si>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</si>
  <si>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</si>
  <si>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</si>
  <si>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</si>
  <si>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</si>
  <si>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</si>
  <si>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</si>
  <si>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</si>
  <si>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Benjamín Mancilla</t>
  </si>
  <si>
    <t>Proyecto Capstone</t>
  </si>
  <si>
    <t>Levantamiento de requerimientos</t>
  </si>
  <si>
    <t>Recolección de documentos</t>
  </si>
  <si>
    <t>Creación del dataset</t>
  </si>
  <si>
    <t>Preparación del dataset</t>
  </si>
  <si>
    <t>Desarrollo Prototipo 1</t>
  </si>
  <si>
    <t>Desarrollo Prototipo 2</t>
  </si>
  <si>
    <t>Diseño de interfaz</t>
  </si>
  <si>
    <t>Desarrollo App Beta</t>
  </si>
  <si>
    <t>Integración de cámara</t>
  </si>
  <si>
    <t>Pruebas de reconocimiento</t>
  </si>
  <si>
    <t>Correcciones y optimización</t>
  </si>
  <si>
    <t>Documentación y entrega</t>
  </si>
  <si>
    <t>14/08/2026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</si>
</sst>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70" formatCode="dd/mm/yy;@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0"/>
      <color theme="1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8" borderId="18" xfId="0" applyFont="1" applyFill="1" applyBorder="1"/>
    <xf numFmtId="0" fontId="5" fillId="0" borderId="18" xfId="0" applyFont="1" applyBorder="1"/>
    <xf numFmtId="0" fontId="7" fillId="8" borderId="19" xfId="0" applyFont="1" applyFill="1" applyBorder="1" applyAlignment="1">
      <alignment horizontal="center" wrapText="1"/>
    </xf>
    <xf numFmtId="0" fontId="7" fillId="8" borderId="20" xfId="0" applyFont="1" applyFill="1" applyBorder="1" applyAlignment="1">
      <alignment horizontal="center" vertical="top" wrapText="1"/>
    </xf>
    <xf numFmtId="9" fontId="8" fillId="8" borderId="21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165" fontId="5" fillId="9" borderId="23" xfId="0" applyNumberFormat="1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 indent="1"/>
    </xf>
    <xf numFmtId="0" fontId="7" fillId="13" borderId="22" xfId="0" applyFont="1" applyFill="1" applyBorder="1" applyAlignment="1">
      <alignment horizontal="left" vertical="center" wrapText="1" indent="1"/>
    </xf>
    <xf numFmtId="0" fontId="7" fillId="13" borderId="22" xfId="0" applyFont="1" applyFill="1" applyBorder="1" applyAlignment="1">
      <alignment horizontal="left" vertical="center" indent="1"/>
    </xf>
    <xf numFmtId="0" fontId="7" fillId="13" borderId="24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5" fillId="0" borderId="27" xfId="0" applyFont="1" applyBorder="1" applyAlignment="1">
      <alignment horizontal="left" vertical="center" wrapText="1" indent="1"/>
    </xf>
    <xf numFmtId="0" fontId="5" fillId="9" borderId="23" xfId="0" applyFont="1" applyFill="1" applyBorder="1" applyAlignment="1">
      <alignment horizontal="left" vertical="center" wrapText="1" indent="1"/>
    </xf>
    <xf numFmtId="1" fontId="5" fillId="9" borderId="1" xfId="0" applyNumberFormat="1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3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4" fillId="20" borderId="38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37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22" borderId="33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5" fillId="23" borderId="27" xfId="0" applyFont="1" applyFill="1" applyBorder="1" applyAlignment="1">
      <alignment horizontal="left" vertical="center" wrapText="1" indent="1"/>
    </xf>
    <xf numFmtId="0" fontId="5" fillId="23" borderId="1" xfId="0" applyFont="1" applyFill="1" applyBorder="1"/>
    <xf numFmtId="0" fontId="5" fillId="23" borderId="2" xfId="0" applyFont="1" applyFill="1" applyBorder="1"/>
    <xf numFmtId="170" fontId="9" fillId="19" borderId="0" xfId="0" applyNumberFormat="1" applyFont="1" applyFill="1" applyAlignment="1">
      <alignment vertical="center"/>
    </xf>
    <xf numFmtId="170" fontId="2" fillId="0" borderId="0" xfId="0" applyNumberFormat="1" applyFont="1"/>
    <xf numFmtId="170" fontId="6" fillId="0" borderId="0" xfId="0" applyNumberFormat="1" applyFont="1" applyAlignment="1">
      <alignment horizontal="left" vertical="center"/>
    </xf>
    <xf numFmtId="170" fontId="7" fillId="8" borderId="30" xfId="0" applyNumberFormat="1" applyFont="1" applyFill="1" applyBorder="1" applyAlignment="1">
      <alignment horizontal="center" wrapText="1"/>
    </xf>
    <xf numFmtId="170" fontId="7" fillId="8" borderId="26" xfId="0" applyNumberFormat="1" applyFont="1" applyFill="1" applyBorder="1" applyAlignment="1">
      <alignment horizontal="center" vertical="top" wrapText="1"/>
    </xf>
    <xf numFmtId="170" fontId="5" fillId="8" borderId="31" xfId="0" applyNumberFormat="1" applyFont="1" applyFill="1" applyBorder="1" applyAlignment="1">
      <alignment horizontal="center" vertical="center"/>
    </xf>
    <xf numFmtId="170" fontId="5" fillId="0" borderId="32" xfId="0" applyNumberFormat="1" applyFont="1" applyBorder="1" applyAlignment="1">
      <alignment horizontal="center" vertical="center"/>
    </xf>
    <xf numFmtId="170" fontId="5" fillId="8" borderId="32" xfId="0" applyNumberFormat="1" applyFont="1" applyFill="1" applyBorder="1" applyAlignment="1">
      <alignment horizontal="center" vertical="center"/>
    </xf>
    <xf numFmtId="170" fontId="0" fillId="0" borderId="0" xfId="0" applyNumberFormat="1"/>
    <xf numFmtId="170" fontId="7" fillId="8" borderId="28" xfId="0" applyNumberFormat="1" applyFont="1" applyFill="1" applyBorder="1" applyAlignment="1">
      <alignment horizontal="center" wrapText="1"/>
    </xf>
    <xf numFmtId="170" fontId="7" fillId="8" borderId="27" xfId="0" applyNumberFormat="1" applyFont="1" applyFill="1" applyBorder="1" applyAlignment="1">
      <alignment horizontal="center" vertical="top" wrapText="1"/>
    </xf>
    <xf numFmtId="170" fontId="5" fillId="8" borderId="29" xfId="0" applyNumberFormat="1" applyFont="1" applyFill="1" applyBorder="1" applyAlignment="1">
      <alignment horizontal="center" vertical="center"/>
    </xf>
    <xf numFmtId="170" fontId="5" fillId="13" borderId="18" xfId="0" applyNumberFormat="1" applyFont="1" applyFill="1" applyBorder="1" applyAlignment="1">
      <alignment horizontal="center" vertical="center"/>
    </xf>
    <xf numFmtId="170" fontId="5" fillId="8" borderId="18" xfId="0" applyNumberFormat="1" applyFont="1" applyFill="1" applyBorder="1" applyAlignment="1">
      <alignment horizontal="center" vertical="center"/>
    </xf>
    <xf numFmtId="1" fontId="9" fillId="19" borderId="0" xfId="0" applyNumberFormat="1" applyFont="1" applyFill="1" applyAlignment="1">
      <alignment vertical="center"/>
    </xf>
    <xf numFmtId="1" fontId="2" fillId="0" borderId="0" xfId="0" applyNumberFormat="1" applyFont="1"/>
    <xf numFmtId="1" fontId="6" fillId="0" borderId="0" xfId="0" applyNumberFormat="1" applyFont="1" applyAlignment="1">
      <alignment horizontal="left" vertical="center"/>
    </xf>
    <xf numFmtId="1" fontId="7" fillId="8" borderId="11" xfId="0" applyNumberFormat="1" applyFont="1" applyFill="1" applyBorder="1" applyAlignment="1">
      <alignment horizontal="center" wrapText="1"/>
    </xf>
    <xf numFmtId="1" fontId="7" fillId="8" borderId="10" xfId="0" applyNumberFormat="1" applyFont="1" applyFill="1" applyBorder="1" applyAlignment="1">
      <alignment horizontal="center" vertical="top" wrapText="1"/>
    </xf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31"/>
  <sheetViews>
    <sheetView showGridLines="0" tabSelected="1" zoomScale="101" workbookViewId="0">
      <selection activeCell="E12" sqref="E12"/>
    </sheetView>
  </sheetViews>
  <sheetFormatPr baseColWidth="10" defaultColWidth="10.796875" defaultRowHeight="15.6" x14ac:dyDescent="0.3"/>
  <cols>
    <col min="1" max="1" width="2.5" customWidth="1"/>
    <col min="2" max="2" width="14.09765625" customWidth="1"/>
    <col min="3" max="3" width="30.296875" customWidth="1"/>
    <col min="4" max="4" width="11.69921875" customWidth="1"/>
    <col min="5" max="6" width="9.796875" style="98" customWidth="1"/>
    <col min="7" max="7" width="9.796875" style="109" customWidth="1"/>
    <col min="8" max="8" width="14.5" customWidth="1"/>
    <col min="9" max="93" width="3.296875" customWidth="1"/>
    <col min="94" max="94" width="1.296875" customWidth="1"/>
  </cols>
  <sheetData>
    <row r="1" spans="2:94" s="26" customFormat="1" ht="49.95" customHeight="1" x14ac:dyDescent="0.3">
      <c r="B1" s="27" t="s">
        <v>0</v>
      </c>
      <c r="C1" s="27"/>
      <c r="D1" s="27"/>
      <c r="E1" s="90"/>
      <c r="F1" s="90"/>
      <c r="G1" s="104"/>
      <c r="H1" s="27"/>
      <c r="I1" s="27"/>
      <c r="J1" s="27"/>
      <c r="K1" s="27"/>
      <c r="L1" s="27"/>
      <c r="M1" s="28"/>
      <c r="N1"/>
      <c r="O1"/>
      <c r="P1"/>
      <c r="Q1" s="28"/>
      <c r="R1" s="28"/>
      <c r="S1" s="28"/>
    </row>
    <row r="2" spans="2:94" s="1" customFormat="1" ht="34.950000000000003" customHeight="1" x14ac:dyDescent="0.25">
      <c r="B2" s="46" t="s">
        <v>1</v>
      </c>
      <c r="C2" s="51" t="s">
        <v>56</v>
      </c>
      <c r="E2" s="91"/>
      <c r="F2" s="91"/>
      <c r="G2" s="105"/>
    </row>
    <row r="3" spans="2:94" s="1" customFormat="1" ht="23.4" thickBot="1" x14ac:dyDescent="0.3">
      <c r="B3" s="49" t="s">
        <v>2</v>
      </c>
      <c r="C3" s="50" t="s">
        <v>55</v>
      </c>
      <c r="E3" s="91"/>
      <c r="F3" s="91"/>
      <c r="G3" s="105"/>
    </row>
    <row r="4" spans="2:94" s="1" customFormat="1" ht="23.4" thickTop="1" x14ac:dyDescent="0.25">
      <c r="B4" s="48" t="s">
        <v>3</v>
      </c>
      <c r="C4" s="45" t="s">
        <v>69</v>
      </c>
      <c r="E4" s="91"/>
      <c r="F4" s="91"/>
      <c r="G4" s="105"/>
    </row>
    <row r="5" spans="2:94" s="1" customFormat="1" ht="15" x14ac:dyDescent="0.25">
      <c r="B5" s="47" t="s">
        <v>4</v>
      </c>
      <c r="C5" s="44"/>
      <c r="E5" s="91"/>
      <c r="F5" s="91"/>
      <c r="G5" s="105"/>
    </row>
    <row r="6" spans="2:94" s="1" customFormat="1" ht="18" customHeight="1" thickBot="1" x14ac:dyDescent="0.3">
      <c r="B6" s="2"/>
      <c r="E6" s="91"/>
      <c r="F6" s="91"/>
      <c r="G6" s="105"/>
    </row>
    <row r="7" spans="2:94" ht="19.95" customHeight="1" thickBot="1" x14ac:dyDescent="0.35">
      <c r="B7" s="4"/>
      <c r="C7" s="5"/>
      <c r="D7" s="5"/>
      <c r="E7" s="92"/>
      <c r="F7" s="92"/>
      <c r="G7" s="106"/>
      <c r="H7" s="5"/>
      <c r="I7" s="60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2"/>
      <c r="AC7" s="65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7"/>
      <c r="AW7" s="70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2"/>
      <c r="BQ7" s="75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7"/>
      <c r="CK7" s="80" t="s">
        <v>54</v>
      </c>
      <c r="CL7" s="81"/>
      <c r="CM7" s="81"/>
      <c r="CN7" s="81"/>
      <c r="CO7" s="81"/>
      <c r="CP7" s="55"/>
    </row>
    <row r="8" spans="2:94" ht="24" x14ac:dyDescent="0.3">
      <c r="B8" s="6" t="s">
        <v>5</v>
      </c>
      <c r="C8" s="7" t="s">
        <v>7</v>
      </c>
      <c r="D8" s="7" t="s">
        <v>8</v>
      </c>
      <c r="E8" s="93" t="s">
        <v>10</v>
      </c>
      <c r="F8" s="99" t="s">
        <v>10</v>
      </c>
      <c r="G8" s="107" t="s">
        <v>13</v>
      </c>
      <c r="H8" s="39" t="s">
        <v>15</v>
      </c>
      <c r="I8" s="63" t="s">
        <v>32</v>
      </c>
      <c r="J8" s="64"/>
      <c r="K8" s="64"/>
      <c r="L8" s="64"/>
      <c r="M8" s="64"/>
      <c r="N8" s="63" t="s">
        <v>33</v>
      </c>
      <c r="O8" s="64"/>
      <c r="P8" s="64"/>
      <c r="Q8" s="64"/>
      <c r="R8" s="64"/>
      <c r="S8" s="63" t="s">
        <v>34</v>
      </c>
      <c r="T8" s="64"/>
      <c r="U8" s="64"/>
      <c r="V8" s="64"/>
      <c r="W8" s="64"/>
      <c r="X8" s="63" t="s">
        <v>35</v>
      </c>
      <c r="Y8" s="64"/>
      <c r="Z8" s="64"/>
      <c r="AA8" s="64"/>
      <c r="AB8" s="64"/>
      <c r="AC8" s="68" t="s">
        <v>36</v>
      </c>
      <c r="AD8" s="69"/>
      <c r="AE8" s="69"/>
      <c r="AF8" s="69"/>
      <c r="AG8" s="69"/>
      <c r="AH8" s="68" t="s">
        <v>37</v>
      </c>
      <c r="AI8" s="69"/>
      <c r="AJ8" s="69"/>
      <c r="AK8" s="69"/>
      <c r="AL8" s="69"/>
      <c r="AM8" s="68" t="s">
        <v>38</v>
      </c>
      <c r="AN8" s="69"/>
      <c r="AO8" s="69"/>
      <c r="AP8" s="69"/>
      <c r="AQ8" s="69"/>
      <c r="AR8" s="68" t="s">
        <v>39</v>
      </c>
      <c r="AS8" s="69"/>
      <c r="AT8" s="69"/>
      <c r="AU8" s="69"/>
      <c r="AV8" s="69"/>
      <c r="AW8" s="73" t="s">
        <v>40</v>
      </c>
      <c r="AX8" s="74"/>
      <c r="AY8" s="74"/>
      <c r="AZ8" s="74"/>
      <c r="BA8" s="74"/>
      <c r="BB8" s="73" t="s">
        <v>41</v>
      </c>
      <c r="BC8" s="74"/>
      <c r="BD8" s="74"/>
      <c r="BE8" s="74"/>
      <c r="BF8" s="74"/>
      <c r="BG8" s="73" t="s">
        <v>42</v>
      </c>
      <c r="BH8" s="74"/>
      <c r="BI8" s="74"/>
      <c r="BJ8" s="74"/>
      <c r="BK8" s="74"/>
      <c r="BL8" s="73" t="s">
        <v>43</v>
      </c>
      <c r="BM8" s="74"/>
      <c r="BN8" s="74"/>
      <c r="BO8" s="74"/>
      <c r="BP8" s="74"/>
      <c r="BQ8" s="78" t="s">
        <v>49</v>
      </c>
      <c r="BR8" s="79"/>
      <c r="BS8" s="79"/>
      <c r="BT8" s="79"/>
      <c r="BU8" s="79"/>
      <c r="BV8" s="78" t="s">
        <v>50</v>
      </c>
      <c r="BW8" s="79"/>
      <c r="BX8" s="79"/>
      <c r="BY8" s="79"/>
      <c r="BZ8" s="79"/>
      <c r="CA8" s="78" t="s">
        <v>51</v>
      </c>
      <c r="CB8" s="79"/>
      <c r="CC8" s="79"/>
      <c r="CD8" s="79"/>
      <c r="CE8" s="79"/>
      <c r="CF8" s="82" t="s">
        <v>52</v>
      </c>
      <c r="CG8" s="83"/>
      <c r="CH8" s="83"/>
      <c r="CI8" s="83"/>
      <c r="CJ8" s="84"/>
      <c r="CK8" s="57" t="s">
        <v>53</v>
      </c>
      <c r="CL8" s="58"/>
      <c r="CM8" s="58"/>
      <c r="CN8" s="58"/>
      <c r="CO8" s="59"/>
      <c r="CP8" s="56"/>
    </row>
    <row r="9" spans="2:94" ht="19.95" customHeight="1" thickBot="1" x14ac:dyDescent="0.35">
      <c r="B9" s="8" t="s">
        <v>6</v>
      </c>
      <c r="C9" s="9" t="s">
        <v>6</v>
      </c>
      <c r="D9" s="9" t="s">
        <v>9</v>
      </c>
      <c r="E9" s="94" t="s">
        <v>11</v>
      </c>
      <c r="F9" s="100" t="s">
        <v>12</v>
      </c>
      <c r="G9" s="108" t="s">
        <v>14</v>
      </c>
      <c r="H9" s="40" t="s">
        <v>16</v>
      </c>
      <c r="I9" s="10" t="s">
        <v>44</v>
      </c>
      <c r="J9" s="11" t="s">
        <v>47</v>
      </c>
      <c r="K9" s="11" t="s">
        <v>48</v>
      </c>
      <c r="L9" s="11" t="s">
        <v>45</v>
      </c>
      <c r="M9" s="11" t="s">
        <v>46</v>
      </c>
      <c r="N9" s="10" t="s">
        <v>44</v>
      </c>
      <c r="O9" s="11" t="s">
        <v>47</v>
      </c>
      <c r="P9" s="11" t="s">
        <v>48</v>
      </c>
      <c r="Q9" s="11" t="s">
        <v>45</v>
      </c>
      <c r="R9" s="11" t="s">
        <v>46</v>
      </c>
      <c r="S9" s="10" t="s">
        <v>44</v>
      </c>
      <c r="T9" s="11" t="s">
        <v>47</v>
      </c>
      <c r="U9" s="11" t="s">
        <v>48</v>
      </c>
      <c r="V9" s="11" t="s">
        <v>45</v>
      </c>
      <c r="W9" s="11" t="s">
        <v>46</v>
      </c>
      <c r="X9" s="10" t="s">
        <v>44</v>
      </c>
      <c r="Y9" s="11" t="s">
        <v>47</v>
      </c>
      <c r="Z9" s="11" t="s">
        <v>48</v>
      </c>
      <c r="AA9" s="11" t="s">
        <v>45</v>
      </c>
      <c r="AB9" s="11" t="s">
        <v>46</v>
      </c>
      <c r="AC9" s="12" t="s">
        <v>44</v>
      </c>
      <c r="AD9" s="13" t="s">
        <v>47</v>
      </c>
      <c r="AE9" s="13" t="s">
        <v>48</v>
      </c>
      <c r="AF9" s="13" t="s">
        <v>45</v>
      </c>
      <c r="AG9" s="13" t="s">
        <v>46</v>
      </c>
      <c r="AH9" s="12" t="s">
        <v>44</v>
      </c>
      <c r="AI9" s="13" t="s">
        <v>47</v>
      </c>
      <c r="AJ9" s="13" t="s">
        <v>48</v>
      </c>
      <c r="AK9" s="13" t="s">
        <v>45</v>
      </c>
      <c r="AL9" s="13" t="s">
        <v>46</v>
      </c>
      <c r="AM9" s="12" t="s">
        <v>44</v>
      </c>
      <c r="AN9" s="13" t="s">
        <v>47</v>
      </c>
      <c r="AO9" s="13" t="s">
        <v>48</v>
      </c>
      <c r="AP9" s="13" t="s">
        <v>45</v>
      </c>
      <c r="AQ9" s="13" t="s">
        <v>46</v>
      </c>
      <c r="AR9" s="12" t="s">
        <v>44</v>
      </c>
      <c r="AS9" s="13" t="s">
        <v>47</v>
      </c>
      <c r="AT9" s="13" t="s">
        <v>48</v>
      </c>
      <c r="AU9" s="13" t="s">
        <v>45</v>
      </c>
      <c r="AV9" s="13" t="s">
        <v>46</v>
      </c>
      <c r="AW9" s="23" t="s">
        <v>44</v>
      </c>
      <c r="AX9" s="24" t="s">
        <v>47</v>
      </c>
      <c r="AY9" s="24" t="s">
        <v>48</v>
      </c>
      <c r="AZ9" s="24" t="s">
        <v>45</v>
      </c>
      <c r="BA9" s="24" t="s">
        <v>46</v>
      </c>
      <c r="BB9" s="23" t="s">
        <v>44</v>
      </c>
      <c r="BC9" s="24" t="s">
        <v>47</v>
      </c>
      <c r="BD9" s="24" t="s">
        <v>48</v>
      </c>
      <c r="BE9" s="24" t="s">
        <v>45</v>
      </c>
      <c r="BF9" s="24" t="s">
        <v>46</v>
      </c>
      <c r="BG9" s="23" t="s">
        <v>44</v>
      </c>
      <c r="BH9" s="24" t="s">
        <v>47</v>
      </c>
      <c r="BI9" s="24" t="s">
        <v>48</v>
      </c>
      <c r="BJ9" s="24" t="s">
        <v>45</v>
      </c>
      <c r="BK9" s="24" t="s">
        <v>46</v>
      </c>
      <c r="BL9" s="23" t="s">
        <v>44</v>
      </c>
      <c r="BM9" s="24" t="s">
        <v>47</v>
      </c>
      <c r="BN9" s="24" t="s">
        <v>48</v>
      </c>
      <c r="BO9" s="24" t="s">
        <v>45</v>
      </c>
      <c r="BP9" s="24" t="s">
        <v>46</v>
      </c>
      <c r="BQ9" s="14" t="s">
        <v>44</v>
      </c>
      <c r="BR9" s="15" t="s">
        <v>47</v>
      </c>
      <c r="BS9" s="15" t="s">
        <v>48</v>
      </c>
      <c r="BT9" s="15" t="s">
        <v>45</v>
      </c>
      <c r="BU9" s="15" t="s">
        <v>46</v>
      </c>
      <c r="BV9" s="14" t="s">
        <v>44</v>
      </c>
      <c r="BW9" s="15" t="s">
        <v>47</v>
      </c>
      <c r="BX9" s="15" t="s">
        <v>48</v>
      </c>
      <c r="BY9" s="15" t="s">
        <v>45</v>
      </c>
      <c r="BZ9" s="15" t="s">
        <v>46</v>
      </c>
      <c r="CA9" s="14" t="s">
        <v>44</v>
      </c>
      <c r="CB9" s="15" t="s">
        <v>47</v>
      </c>
      <c r="CC9" s="15" t="s">
        <v>48</v>
      </c>
      <c r="CD9" s="15" t="s">
        <v>45</v>
      </c>
      <c r="CE9" s="15" t="s">
        <v>46</v>
      </c>
      <c r="CF9" s="14" t="s">
        <v>44</v>
      </c>
      <c r="CG9" s="15" t="s">
        <v>47</v>
      </c>
      <c r="CH9" s="15" t="s">
        <v>48</v>
      </c>
      <c r="CI9" s="15" t="s">
        <v>45</v>
      </c>
      <c r="CJ9" s="15" t="s">
        <v>46</v>
      </c>
      <c r="CK9" s="53" t="s">
        <v>44</v>
      </c>
      <c r="CL9" s="54" t="s">
        <v>47</v>
      </c>
      <c r="CM9" s="54" t="s">
        <v>48</v>
      </c>
      <c r="CN9" s="54" t="s">
        <v>45</v>
      </c>
      <c r="CO9" s="54" t="s">
        <v>46</v>
      </c>
      <c r="CP9" s="53"/>
    </row>
    <row r="10" spans="2:94" ht="19.95" customHeight="1" thickTop="1" thickBot="1" x14ac:dyDescent="0.35">
      <c r="B10" s="29">
        <v>1</v>
      </c>
      <c r="C10" s="30" t="s">
        <v>17</v>
      </c>
      <c r="D10" s="31"/>
      <c r="E10" s="95"/>
      <c r="F10" s="101"/>
      <c r="G10" s="32" t="str">
        <f>IF(F10-E10=0,"",F10-E10)</f>
        <v/>
      </c>
      <c r="H10" s="41"/>
      <c r="I10" s="3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6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6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6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6"/>
      <c r="CL10" s="17"/>
      <c r="CM10" s="17"/>
      <c r="CN10" s="17"/>
      <c r="CO10" s="17"/>
      <c r="CP10" s="16"/>
    </row>
    <row r="11" spans="2:94" ht="19.95" customHeight="1" thickBot="1" x14ac:dyDescent="0.35">
      <c r="B11" s="33" t="s">
        <v>20</v>
      </c>
      <c r="C11" s="85" t="s">
        <v>57</v>
      </c>
      <c r="D11" s="50" t="s">
        <v>55</v>
      </c>
      <c r="E11" s="96">
        <v>46244</v>
      </c>
      <c r="F11" s="102">
        <f>WORKDAY(E11,G11)</f>
        <v>46251</v>
      </c>
      <c r="G11" s="52">
        <v>5</v>
      </c>
      <c r="H11" s="42">
        <v>1</v>
      </c>
      <c r="I11" s="87"/>
      <c r="J11" s="87"/>
      <c r="K11" s="87"/>
      <c r="L11" s="87"/>
      <c r="M11" s="87"/>
      <c r="N11" s="50"/>
      <c r="O11" s="50"/>
      <c r="P11" s="50"/>
      <c r="Q11" s="50"/>
      <c r="R11" s="50"/>
      <c r="S11" s="19"/>
      <c r="T11" s="19"/>
      <c r="U11" s="19"/>
      <c r="V11" s="19"/>
      <c r="W11" s="19"/>
      <c r="X11" s="20"/>
      <c r="Y11" s="20"/>
      <c r="Z11" s="20"/>
      <c r="AA11" s="20"/>
      <c r="AB11" s="20"/>
      <c r="AC11" s="18"/>
      <c r="AD11" s="19"/>
      <c r="AE11" s="19"/>
      <c r="AF11" s="19"/>
      <c r="AG11" s="19"/>
      <c r="AH11" s="21"/>
      <c r="AI11" s="21"/>
      <c r="AJ11" s="21"/>
      <c r="AK11" s="21"/>
      <c r="AL11" s="21"/>
      <c r="AM11" s="19"/>
      <c r="AN11" s="19"/>
      <c r="AO11" s="19"/>
      <c r="AP11" s="19"/>
      <c r="AQ11" s="19"/>
      <c r="AR11" s="21"/>
      <c r="AS11" s="21"/>
      <c r="AT11" s="21"/>
      <c r="AU11" s="21"/>
      <c r="AV11" s="21"/>
      <c r="AW11" s="18"/>
      <c r="AX11" s="19"/>
      <c r="AY11" s="19"/>
      <c r="AZ11" s="19"/>
      <c r="BA11" s="19"/>
      <c r="BB11" s="25"/>
      <c r="BC11" s="25"/>
      <c r="BD11" s="25"/>
      <c r="BE11" s="25"/>
      <c r="BF11" s="25"/>
      <c r="BG11" s="19"/>
      <c r="BH11" s="19"/>
      <c r="BI11" s="19"/>
      <c r="BJ11" s="19"/>
      <c r="BK11" s="19"/>
      <c r="BL11" s="25"/>
      <c r="BM11" s="25"/>
      <c r="BN11" s="25"/>
      <c r="BO11" s="25"/>
      <c r="BP11" s="25"/>
      <c r="BQ11" s="18"/>
      <c r="BR11" s="19"/>
      <c r="BS11" s="19"/>
      <c r="BT11" s="19"/>
      <c r="BU11" s="19"/>
      <c r="BV11" s="22"/>
      <c r="BW11" s="22"/>
      <c r="BX11" s="22"/>
      <c r="BY11" s="22"/>
      <c r="BZ11" s="22"/>
      <c r="CA11" s="19"/>
      <c r="CB11" s="19"/>
      <c r="CC11" s="19"/>
      <c r="CD11" s="19"/>
      <c r="CE11" s="19"/>
      <c r="CF11" s="22"/>
      <c r="CG11" s="22"/>
      <c r="CH11" s="22"/>
      <c r="CI11" s="22"/>
      <c r="CJ11" s="22"/>
      <c r="CK11" s="18"/>
      <c r="CL11" s="19"/>
      <c r="CM11" s="19"/>
      <c r="CN11" s="19"/>
      <c r="CO11" s="19"/>
      <c r="CP11" s="18"/>
    </row>
    <row r="12" spans="2:94" ht="19.95" customHeight="1" thickBot="1" x14ac:dyDescent="0.35">
      <c r="B12" s="33" t="s">
        <v>21</v>
      </c>
      <c r="C12" s="86" t="s">
        <v>58</v>
      </c>
      <c r="D12" s="50" t="s">
        <v>55</v>
      </c>
      <c r="E12" s="96">
        <f>F11</f>
        <v>46251</v>
      </c>
      <c r="F12" s="102">
        <f t="shared" ref="F12:F24" si="0">WORKDAY(E12,G12)</f>
        <v>46258</v>
      </c>
      <c r="G12" s="52">
        <v>5</v>
      </c>
      <c r="H12" s="42">
        <v>0.5</v>
      </c>
      <c r="I12" s="38"/>
      <c r="J12" s="19"/>
      <c r="K12" s="19"/>
      <c r="L12" s="19"/>
      <c r="M12" s="19"/>
      <c r="N12" s="88"/>
      <c r="O12" s="88"/>
      <c r="P12" s="88"/>
      <c r="Q12" s="88"/>
      <c r="R12" s="88"/>
      <c r="S12" s="19"/>
      <c r="T12" s="19"/>
      <c r="U12" s="19"/>
      <c r="V12" s="19"/>
      <c r="W12" s="19"/>
      <c r="X12" s="20"/>
      <c r="Y12" s="20"/>
      <c r="Z12" s="20"/>
      <c r="AA12" s="20"/>
      <c r="AB12" s="20"/>
      <c r="AC12" s="18"/>
      <c r="AD12" s="19"/>
      <c r="AE12" s="19"/>
      <c r="AF12" s="19"/>
      <c r="AG12" s="19"/>
      <c r="AH12" s="21"/>
      <c r="AI12" s="21"/>
      <c r="AJ12" s="21"/>
      <c r="AK12" s="21"/>
      <c r="AL12" s="21"/>
      <c r="AM12" s="19"/>
      <c r="AN12" s="19"/>
      <c r="AO12" s="19"/>
      <c r="AP12" s="19"/>
      <c r="AQ12" s="19"/>
      <c r="AR12" s="21"/>
      <c r="AS12" s="21"/>
      <c r="AT12" s="21"/>
      <c r="AU12" s="21"/>
      <c r="AV12" s="21"/>
      <c r="AW12" s="18"/>
      <c r="AX12" s="19"/>
      <c r="AY12" s="19"/>
      <c r="AZ12" s="19"/>
      <c r="BA12" s="19"/>
      <c r="BB12" s="25"/>
      <c r="BC12" s="25"/>
      <c r="BD12" s="25"/>
      <c r="BE12" s="25"/>
      <c r="BF12" s="25"/>
      <c r="BG12" s="19"/>
      <c r="BH12" s="19"/>
      <c r="BI12" s="19"/>
      <c r="BJ12" s="19"/>
      <c r="BK12" s="19"/>
      <c r="BL12" s="25"/>
      <c r="BM12" s="25"/>
      <c r="BN12" s="25"/>
      <c r="BO12" s="25"/>
      <c r="BP12" s="25"/>
      <c r="BQ12" s="18"/>
      <c r="BR12" s="19"/>
      <c r="BS12" s="19"/>
      <c r="BT12" s="19"/>
      <c r="BU12" s="19"/>
      <c r="BV12" s="22"/>
      <c r="BW12" s="22"/>
      <c r="BX12" s="22"/>
      <c r="BY12" s="22"/>
      <c r="BZ12" s="22"/>
      <c r="CA12" s="19"/>
      <c r="CB12" s="19"/>
      <c r="CC12" s="19"/>
      <c r="CD12" s="19"/>
      <c r="CE12" s="19"/>
      <c r="CF12" s="22"/>
      <c r="CG12" s="22"/>
      <c r="CH12" s="22"/>
      <c r="CI12" s="22"/>
      <c r="CJ12" s="22"/>
      <c r="CK12" s="18"/>
      <c r="CL12" s="19"/>
      <c r="CM12" s="19"/>
      <c r="CN12" s="19"/>
      <c r="CO12" s="19"/>
      <c r="CP12" s="18"/>
    </row>
    <row r="13" spans="2:94" ht="19.95" customHeight="1" thickBot="1" x14ac:dyDescent="0.35">
      <c r="B13" s="33" t="s">
        <v>22</v>
      </c>
      <c r="C13" s="86" t="s">
        <v>59</v>
      </c>
      <c r="D13" s="50" t="s">
        <v>55</v>
      </c>
      <c r="E13" s="96">
        <f t="shared" ref="E13:E16" si="1">F12</f>
        <v>46258</v>
      </c>
      <c r="F13" s="102">
        <f t="shared" si="0"/>
        <v>46265</v>
      </c>
      <c r="G13" s="52">
        <v>5</v>
      </c>
      <c r="H13" s="42">
        <v>0.5</v>
      </c>
      <c r="I13" s="38"/>
      <c r="J13" s="19"/>
      <c r="K13" s="19"/>
      <c r="L13" s="19"/>
      <c r="M13" s="19"/>
      <c r="N13" s="20"/>
      <c r="O13" s="20"/>
      <c r="P13" s="20"/>
      <c r="Q13" s="20"/>
      <c r="R13" s="20"/>
      <c r="S13" s="88"/>
      <c r="T13" s="88"/>
      <c r="U13" s="88"/>
      <c r="V13" s="88"/>
      <c r="W13" s="88"/>
      <c r="X13" s="20"/>
      <c r="Y13" s="20"/>
      <c r="Z13" s="20"/>
      <c r="AA13" s="20"/>
      <c r="AB13" s="20"/>
      <c r="AC13" s="18"/>
      <c r="AD13" s="19"/>
      <c r="AE13" s="19"/>
      <c r="AF13" s="19"/>
      <c r="AG13" s="19"/>
      <c r="AH13" s="21"/>
      <c r="AI13" s="21"/>
      <c r="AJ13" s="21"/>
      <c r="AK13" s="21"/>
      <c r="AL13" s="21"/>
      <c r="AM13" s="19"/>
      <c r="AN13" s="19"/>
      <c r="AO13" s="19"/>
      <c r="AP13" s="19"/>
      <c r="AQ13" s="19"/>
      <c r="AR13" s="21"/>
      <c r="AS13" s="21"/>
      <c r="AT13" s="21"/>
      <c r="AU13" s="21"/>
      <c r="AV13" s="21"/>
      <c r="AW13" s="18"/>
      <c r="AX13" s="19"/>
      <c r="AY13" s="19"/>
      <c r="AZ13" s="19"/>
      <c r="BA13" s="19"/>
      <c r="BB13" s="25"/>
      <c r="BC13" s="25"/>
      <c r="BD13" s="25"/>
      <c r="BE13" s="25"/>
      <c r="BF13" s="25"/>
      <c r="BG13" s="19"/>
      <c r="BH13" s="19"/>
      <c r="BI13" s="19"/>
      <c r="BJ13" s="19"/>
      <c r="BK13" s="19"/>
      <c r="BL13" s="25"/>
      <c r="BM13" s="25"/>
      <c r="BN13" s="25"/>
      <c r="BO13" s="25"/>
      <c r="BP13" s="25"/>
      <c r="BQ13" s="18"/>
      <c r="BR13" s="19"/>
      <c r="BS13" s="19"/>
      <c r="BT13" s="19"/>
      <c r="BU13" s="19"/>
      <c r="BV13" s="22"/>
      <c r="BW13" s="22"/>
      <c r="BX13" s="22"/>
      <c r="BY13" s="22"/>
      <c r="BZ13" s="22"/>
      <c r="CA13" s="19"/>
      <c r="CB13" s="19"/>
      <c r="CC13" s="19"/>
      <c r="CD13" s="19"/>
      <c r="CE13" s="19"/>
      <c r="CF13" s="22"/>
      <c r="CG13" s="22"/>
      <c r="CH13" s="22"/>
      <c r="CI13" s="22"/>
      <c r="CJ13" s="22"/>
      <c r="CK13" s="18"/>
      <c r="CL13" s="19"/>
      <c r="CM13" s="19"/>
      <c r="CN13" s="19"/>
      <c r="CO13" s="19"/>
      <c r="CP13" s="18"/>
    </row>
    <row r="14" spans="2:94" ht="19.95" customHeight="1" thickBot="1" x14ac:dyDescent="0.35">
      <c r="B14" s="33" t="s">
        <v>23</v>
      </c>
      <c r="C14" s="86" t="s">
        <v>60</v>
      </c>
      <c r="D14" s="50" t="s">
        <v>55</v>
      </c>
      <c r="E14" s="96">
        <f t="shared" si="1"/>
        <v>46265</v>
      </c>
      <c r="F14" s="102">
        <f t="shared" si="0"/>
        <v>46272</v>
      </c>
      <c r="G14" s="52">
        <v>5</v>
      </c>
      <c r="H14" s="42">
        <v>0.5</v>
      </c>
      <c r="I14" s="38"/>
      <c r="J14" s="19"/>
      <c r="K14" s="19"/>
      <c r="L14" s="19"/>
      <c r="M14" s="19"/>
      <c r="N14" s="20"/>
      <c r="O14" s="20"/>
      <c r="P14" s="20"/>
      <c r="Q14" s="20"/>
      <c r="R14" s="20"/>
      <c r="S14" s="19"/>
      <c r="T14" s="19"/>
      <c r="U14" s="19"/>
      <c r="V14" s="19"/>
      <c r="W14" s="19"/>
      <c r="X14" s="88"/>
      <c r="Y14" s="88"/>
      <c r="Z14" s="88"/>
      <c r="AA14" s="88"/>
      <c r="AB14" s="88"/>
      <c r="AC14" s="18"/>
      <c r="AD14" s="19"/>
      <c r="AE14" s="19"/>
      <c r="AF14" s="19"/>
      <c r="AG14" s="19"/>
      <c r="AH14" s="21"/>
      <c r="AI14" s="21"/>
      <c r="AJ14" s="21"/>
      <c r="AK14" s="21"/>
      <c r="AL14" s="21"/>
      <c r="AM14" s="19"/>
      <c r="AN14" s="19"/>
      <c r="AO14" s="19"/>
      <c r="AP14" s="19"/>
      <c r="AQ14" s="19"/>
      <c r="AR14" s="21"/>
      <c r="AS14" s="21"/>
      <c r="AT14" s="21"/>
      <c r="AU14" s="21"/>
      <c r="AV14" s="21"/>
      <c r="AW14" s="18"/>
      <c r="AX14" s="19"/>
      <c r="AY14" s="19"/>
      <c r="AZ14" s="19"/>
      <c r="BA14" s="19"/>
      <c r="BB14" s="25"/>
      <c r="BC14" s="25"/>
      <c r="BD14" s="25"/>
      <c r="BE14" s="25"/>
      <c r="BF14" s="25"/>
      <c r="BG14" s="19"/>
      <c r="BH14" s="19"/>
      <c r="BI14" s="19"/>
      <c r="BJ14" s="19"/>
      <c r="BK14" s="19"/>
      <c r="BL14" s="25"/>
      <c r="BM14" s="25"/>
      <c r="BN14" s="25"/>
      <c r="BO14" s="25"/>
      <c r="BP14" s="25"/>
      <c r="BQ14" s="18"/>
      <c r="BR14" s="19"/>
      <c r="BS14" s="19"/>
      <c r="BT14" s="19"/>
      <c r="BU14" s="19"/>
      <c r="BV14" s="22"/>
      <c r="BW14" s="22"/>
      <c r="BX14" s="22"/>
      <c r="BY14" s="22"/>
      <c r="BZ14" s="22"/>
      <c r="CA14" s="19"/>
      <c r="CB14" s="19"/>
      <c r="CC14" s="19"/>
      <c r="CD14" s="19"/>
      <c r="CE14" s="19"/>
      <c r="CF14" s="22"/>
      <c r="CG14" s="22"/>
      <c r="CH14" s="22"/>
      <c r="CI14" s="22"/>
      <c r="CJ14" s="22"/>
      <c r="CK14" s="18"/>
      <c r="CL14" s="19"/>
      <c r="CM14" s="19"/>
      <c r="CN14" s="19"/>
      <c r="CO14" s="19"/>
      <c r="CP14" s="18"/>
    </row>
    <row r="15" spans="2:94" ht="19.95" customHeight="1" thickBot="1" x14ac:dyDescent="0.35">
      <c r="B15" s="33" t="s">
        <v>24</v>
      </c>
      <c r="C15" s="86" t="s">
        <v>61</v>
      </c>
      <c r="D15" s="50" t="s">
        <v>55</v>
      </c>
      <c r="E15" s="96">
        <f t="shared" si="1"/>
        <v>46272</v>
      </c>
      <c r="F15" s="102">
        <f t="shared" si="0"/>
        <v>46286</v>
      </c>
      <c r="G15" s="52">
        <v>10</v>
      </c>
      <c r="H15" s="42">
        <v>1</v>
      </c>
      <c r="I15" s="38"/>
      <c r="J15" s="19"/>
      <c r="K15" s="19"/>
      <c r="L15" s="19"/>
      <c r="M15" s="19"/>
      <c r="N15" s="20"/>
      <c r="O15" s="20"/>
      <c r="P15" s="20"/>
      <c r="Q15" s="20"/>
      <c r="R15" s="20"/>
      <c r="S15" s="19"/>
      <c r="T15" s="19"/>
      <c r="U15" s="19"/>
      <c r="V15" s="19"/>
      <c r="W15" s="19"/>
      <c r="X15" s="20"/>
      <c r="Y15" s="20"/>
      <c r="Z15" s="20"/>
      <c r="AA15" s="20"/>
      <c r="AB15" s="20"/>
      <c r="AC15" s="89"/>
      <c r="AD15" s="88"/>
      <c r="AE15" s="88"/>
      <c r="AF15" s="88"/>
      <c r="AG15" s="88"/>
      <c r="AH15" s="88"/>
      <c r="AI15" s="88"/>
      <c r="AJ15" s="88"/>
      <c r="AK15" s="88"/>
      <c r="AL15" s="88"/>
      <c r="AM15" s="19"/>
      <c r="AN15" s="19"/>
      <c r="AO15" s="19"/>
      <c r="AP15" s="19"/>
      <c r="AQ15" s="19"/>
      <c r="AR15" s="21"/>
      <c r="AS15" s="21"/>
      <c r="AT15" s="21"/>
      <c r="AU15" s="21"/>
      <c r="AV15" s="21"/>
      <c r="AW15" s="18"/>
      <c r="AX15" s="19"/>
      <c r="AY15" s="19"/>
      <c r="AZ15" s="19"/>
      <c r="BA15" s="19"/>
      <c r="BB15" s="25"/>
      <c r="BC15" s="25"/>
      <c r="BD15" s="25"/>
      <c r="BE15" s="25"/>
      <c r="BF15" s="25"/>
      <c r="BG15" s="19"/>
      <c r="BH15" s="19"/>
      <c r="BI15" s="19"/>
      <c r="BJ15" s="19"/>
      <c r="BK15" s="19"/>
      <c r="BL15" s="25"/>
      <c r="BM15" s="25"/>
      <c r="BN15" s="25"/>
      <c r="BO15" s="25"/>
      <c r="BP15" s="25"/>
      <c r="BQ15" s="18"/>
      <c r="BR15" s="19"/>
      <c r="BS15" s="19"/>
      <c r="BT15" s="19"/>
      <c r="BU15" s="19"/>
      <c r="BV15" s="22"/>
      <c r="BW15" s="22"/>
      <c r="BX15" s="22"/>
      <c r="BY15" s="22"/>
      <c r="BZ15" s="22"/>
      <c r="CA15" s="19"/>
      <c r="CB15" s="19"/>
      <c r="CC15" s="19"/>
      <c r="CD15" s="19"/>
      <c r="CE15" s="19"/>
      <c r="CF15" s="22"/>
      <c r="CG15" s="22"/>
      <c r="CH15" s="22"/>
      <c r="CI15" s="22"/>
      <c r="CJ15" s="22"/>
      <c r="CK15" s="18"/>
      <c r="CL15" s="19"/>
      <c r="CM15" s="19"/>
      <c r="CN15" s="19"/>
      <c r="CO15" s="19"/>
      <c r="CP15" s="18"/>
    </row>
    <row r="16" spans="2:94" ht="19.95" customHeight="1" thickBot="1" x14ac:dyDescent="0.35">
      <c r="B16" s="33" t="s">
        <v>25</v>
      </c>
      <c r="C16" s="86" t="s">
        <v>62</v>
      </c>
      <c r="D16" s="50" t="s">
        <v>55</v>
      </c>
      <c r="E16" s="96">
        <f t="shared" si="1"/>
        <v>46286</v>
      </c>
      <c r="F16" s="102">
        <f t="shared" si="0"/>
        <v>46300</v>
      </c>
      <c r="G16" s="52">
        <v>10</v>
      </c>
      <c r="H16" s="42">
        <v>0</v>
      </c>
      <c r="I16" s="38"/>
      <c r="J16" s="19"/>
      <c r="K16" s="19"/>
      <c r="L16" s="19"/>
      <c r="M16" s="19"/>
      <c r="N16" s="20"/>
      <c r="O16" s="20"/>
      <c r="P16" s="20"/>
      <c r="Q16" s="20"/>
      <c r="R16" s="20"/>
      <c r="S16" s="19"/>
      <c r="T16" s="19"/>
      <c r="U16" s="19"/>
      <c r="V16" s="19"/>
      <c r="W16" s="19"/>
      <c r="X16" s="20"/>
      <c r="Y16" s="20"/>
      <c r="Z16" s="20"/>
      <c r="AA16" s="20"/>
      <c r="AB16" s="20"/>
      <c r="AC16" s="18"/>
      <c r="AD16" s="19"/>
      <c r="AE16" s="19"/>
      <c r="AF16" s="19"/>
      <c r="AG16" s="19"/>
      <c r="AH16" s="21"/>
      <c r="AI16" s="21"/>
      <c r="AJ16" s="21"/>
      <c r="AK16" s="21"/>
      <c r="AL16" s="21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18"/>
      <c r="AX16" s="19"/>
      <c r="AY16" s="19"/>
      <c r="AZ16" s="19"/>
      <c r="BA16" s="19"/>
      <c r="BB16" s="25"/>
      <c r="BC16" s="25"/>
      <c r="BD16" s="25"/>
      <c r="BE16" s="25"/>
      <c r="BF16" s="25"/>
      <c r="BG16" s="19"/>
      <c r="BH16" s="19"/>
      <c r="BI16" s="19"/>
      <c r="BJ16" s="19"/>
      <c r="BK16" s="19"/>
      <c r="BL16" s="25"/>
      <c r="BM16" s="25"/>
      <c r="BN16" s="25"/>
      <c r="BO16" s="25"/>
      <c r="BP16" s="25"/>
      <c r="BQ16" s="18"/>
      <c r="BR16" s="19"/>
      <c r="BS16" s="19"/>
      <c r="BT16" s="19"/>
      <c r="BU16" s="19"/>
      <c r="BV16" s="22"/>
      <c r="BW16" s="22"/>
      <c r="BX16" s="22"/>
      <c r="BY16" s="22"/>
      <c r="BZ16" s="22"/>
      <c r="CA16" s="19"/>
      <c r="CB16" s="19"/>
      <c r="CC16" s="19"/>
      <c r="CD16" s="19"/>
      <c r="CE16" s="19"/>
      <c r="CF16" s="22"/>
      <c r="CG16" s="22"/>
      <c r="CH16" s="22"/>
      <c r="CI16" s="22"/>
      <c r="CJ16" s="22"/>
      <c r="CK16" s="18"/>
      <c r="CL16" s="19"/>
      <c r="CM16" s="19"/>
      <c r="CN16" s="19"/>
      <c r="CO16" s="19"/>
      <c r="CP16" s="18"/>
    </row>
    <row r="17" spans="2:94" ht="19.95" customHeight="1" thickBot="1" x14ac:dyDescent="0.35">
      <c r="B17" s="33">
        <v>2</v>
      </c>
      <c r="C17" s="34" t="s">
        <v>18</v>
      </c>
      <c r="D17" s="35"/>
      <c r="E17" s="97"/>
      <c r="F17" s="103"/>
      <c r="G17" s="36" t="str">
        <f t="shared" ref="G17:G21" si="2">IF(F17-E17=0,"",F17-E17)</f>
        <v/>
      </c>
      <c r="H17" s="43"/>
      <c r="I17" s="3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6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6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6"/>
      <c r="CL17" s="17"/>
      <c r="CM17" s="17"/>
      <c r="CN17" s="17"/>
      <c r="CO17" s="17"/>
      <c r="CP17" s="16"/>
    </row>
    <row r="18" spans="2:94" ht="19.95" customHeight="1" thickBot="1" x14ac:dyDescent="0.35">
      <c r="B18" s="33" t="s">
        <v>26</v>
      </c>
      <c r="C18" s="85" t="s">
        <v>63</v>
      </c>
      <c r="D18" s="50" t="s">
        <v>55</v>
      </c>
      <c r="E18" s="96">
        <f>F16</f>
        <v>46300</v>
      </c>
      <c r="F18" s="102">
        <f t="shared" si="0"/>
        <v>46307</v>
      </c>
      <c r="G18" s="52">
        <v>5</v>
      </c>
      <c r="H18" s="42">
        <v>0.25</v>
      </c>
      <c r="I18" s="38"/>
      <c r="J18" s="19"/>
      <c r="K18" s="19"/>
      <c r="L18" s="19"/>
      <c r="M18" s="19"/>
      <c r="N18" s="20"/>
      <c r="O18" s="20"/>
      <c r="P18" s="20"/>
      <c r="Q18" s="20"/>
      <c r="R18" s="20"/>
      <c r="S18" s="19"/>
      <c r="T18" s="19"/>
      <c r="U18" s="19"/>
      <c r="V18" s="19"/>
      <c r="W18" s="19"/>
      <c r="X18" s="20"/>
      <c r="Y18" s="20"/>
      <c r="Z18" s="20"/>
      <c r="AA18" s="20"/>
      <c r="AB18" s="20"/>
      <c r="AC18" s="18"/>
      <c r="AD18" s="19"/>
      <c r="AE18" s="19"/>
      <c r="AF18" s="19"/>
      <c r="AG18" s="19"/>
      <c r="AH18" s="21"/>
      <c r="AI18" s="21"/>
      <c r="AJ18" s="21"/>
      <c r="AK18" s="21"/>
      <c r="AL18" s="21"/>
      <c r="AM18" s="19"/>
      <c r="AN18" s="19"/>
      <c r="AO18" s="19"/>
      <c r="AP18" s="19"/>
      <c r="AQ18" s="19"/>
      <c r="AR18" s="21"/>
      <c r="AS18" s="21"/>
      <c r="AT18" s="21"/>
      <c r="AU18" s="21"/>
      <c r="AV18" s="21"/>
      <c r="AW18" s="89"/>
      <c r="AX18" s="88"/>
      <c r="AY18" s="88"/>
      <c r="AZ18" s="88"/>
      <c r="BA18" s="88"/>
      <c r="BB18" s="25"/>
      <c r="BC18" s="25"/>
      <c r="BD18" s="25"/>
      <c r="BE18" s="25"/>
      <c r="BF18" s="25"/>
      <c r="BG18" s="19"/>
      <c r="BH18" s="19"/>
      <c r="BI18" s="19"/>
      <c r="BJ18" s="19"/>
      <c r="BK18" s="19"/>
      <c r="BL18" s="25"/>
      <c r="BM18" s="25"/>
      <c r="BN18" s="25"/>
      <c r="BO18" s="25"/>
      <c r="BP18" s="25"/>
      <c r="BQ18" s="18"/>
      <c r="BR18" s="19"/>
      <c r="BS18" s="19"/>
      <c r="BT18" s="19"/>
      <c r="BU18" s="19"/>
      <c r="BV18" s="22"/>
      <c r="BW18" s="22"/>
      <c r="BX18" s="22"/>
      <c r="BY18" s="22"/>
      <c r="BZ18" s="22"/>
      <c r="CA18" s="19"/>
      <c r="CB18" s="19"/>
      <c r="CC18" s="19"/>
      <c r="CD18" s="19"/>
      <c r="CE18" s="19"/>
      <c r="CF18" s="22"/>
      <c r="CG18" s="22"/>
      <c r="CH18" s="22"/>
      <c r="CI18" s="22"/>
      <c r="CJ18" s="22"/>
      <c r="CK18" s="18"/>
      <c r="CL18" s="19"/>
      <c r="CM18" s="19"/>
      <c r="CN18" s="19"/>
      <c r="CO18" s="19"/>
      <c r="CP18" s="18"/>
    </row>
    <row r="19" spans="2:94" ht="19.95" customHeight="1" thickBot="1" x14ac:dyDescent="0.35">
      <c r="B19" s="33" t="s">
        <v>27</v>
      </c>
      <c r="C19" s="86" t="s">
        <v>64</v>
      </c>
      <c r="D19" s="50" t="s">
        <v>55</v>
      </c>
      <c r="E19" s="96">
        <f t="shared" ref="E19:E20" si="3">F18</f>
        <v>46307</v>
      </c>
      <c r="F19" s="102">
        <f t="shared" si="0"/>
        <v>46328</v>
      </c>
      <c r="G19" s="52">
        <v>15</v>
      </c>
      <c r="H19" s="42">
        <v>0</v>
      </c>
      <c r="I19" s="38"/>
      <c r="J19" s="19"/>
      <c r="K19" s="19"/>
      <c r="L19" s="19"/>
      <c r="M19" s="19"/>
      <c r="N19" s="20"/>
      <c r="O19" s="20"/>
      <c r="P19" s="20"/>
      <c r="Q19" s="20"/>
      <c r="R19" s="20"/>
      <c r="S19" s="19"/>
      <c r="T19" s="19"/>
      <c r="U19" s="19"/>
      <c r="V19" s="19"/>
      <c r="W19" s="19"/>
      <c r="X19" s="20"/>
      <c r="Y19" s="20"/>
      <c r="Z19" s="20"/>
      <c r="AA19" s="20"/>
      <c r="AB19" s="20"/>
      <c r="AC19" s="18"/>
      <c r="AD19" s="19"/>
      <c r="AE19" s="19"/>
      <c r="AF19" s="19"/>
      <c r="AG19" s="19"/>
      <c r="AH19" s="21"/>
      <c r="AI19" s="21"/>
      <c r="AJ19" s="21"/>
      <c r="AK19" s="21"/>
      <c r="AL19" s="21"/>
      <c r="AM19" s="19"/>
      <c r="AN19" s="19"/>
      <c r="AO19" s="19"/>
      <c r="AP19" s="19"/>
      <c r="AQ19" s="19"/>
      <c r="AR19" s="21"/>
      <c r="AS19" s="21"/>
      <c r="AT19" s="21"/>
      <c r="AU19" s="21"/>
      <c r="AV19" s="21"/>
      <c r="AW19" s="18"/>
      <c r="AX19" s="19"/>
      <c r="AY19" s="19"/>
      <c r="AZ19" s="19"/>
      <c r="BA19" s="19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18"/>
      <c r="BR19" s="19"/>
      <c r="BS19" s="19"/>
      <c r="BT19" s="19"/>
      <c r="BU19" s="19"/>
      <c r="BV19" s="22"/>
      <c r="BW19" s="22"/>
      <c r="BX19" s="22"/>
      <c r="BY19" s="22"/>
      <c r="BZ19" s="22"/>
      <c r="CA19" s="19"/>
      <c r="CB19" s="19"/>
      <c r="CC19" s="19"/>
      <c r="CD19" s="19"/>
      <c r="CE19" s="19"/>
      <c r="CF19" s="22"/>
      <c r="CG19" s="22"/>
      <c r="CH19" s="22"/>
      <c r="CI19" s="22"/>
      <c r="CJ19" s="22"/>
      <c r="CK19" s="18"/>
      <c r="CL19" s="19"/>
      <c r="CM19" s="19"/>
      <c r="CN19" s="19"/>
      <c r="CO19" s="19"/>
      <c r="CP19" s="18"/>
    </row>
    <row r="20" spans="2:94" ht="19.95" customHeight="1" thickBot="1" x14ac:dyDescent="0.35">
      <c r="B20" s="33" t="s">
        <v>28</v>
      </c>
      <c r="C20" s="86" t="s">
        <v>65</v>
      </c>
      <c r="D20" s="50" t="s">
        <v>55</v>
      </c>
      <c r="E20" s="96">
        <f t="shared" si="3"/>
        <v>46328</v>
      </c>
      <c r="F20" s="102">
        <f t="shared" si="0"/>
        <v>46335</v>
      </c>
      <c r="G20" s="52">
        <v>5</v>
      </c>
      <c r="H20" s="42">
        <v>0</v>
      </c>
      <c r="I20" s="38"/>
      <c r="J20" s="19"/>
      <c r="K20" s="19"/>
      <c r="L20" s="19"/>
      <c r="M20" s="19"/>
      <c r="N20" s="20"/>
      <c r="O20" s="20"/>
      <c r="P20" s="20"/>
      <c r="Q20" s="20"/>
      <c r="R20" s="20"/>
      <c r="S20" s="19"/>
      <c r="T20" s="19"/>
      <c r="U20" s="19"/>
      <c r="V20" s="19"/>
      <c r="W20" s="19"/>
      <c r="X20" s="20"/>
      <c r="Y20" s="20"/>
      <c r="Z20" s="20"/>
      <c r="AA20" s="20"/>
      <c r="AB20" s="20"/>
      <c r="AC20" s="18"/>
      <c r="AD20" s="19"/>
      <c r="AE20" s="19"/>
      <c r="AF20" s="19"/>
      <c r="AG20" s="19"/>
      <c r="AH20" s="21"/>
      <c r="AI20" s="21"/>
      <c r="AJ20" s="21"/>
      <c r="AK20" s="21"/>
      <c r="AL20" s="21"/>
      <c r="AM20" s="19"/>
      <c r="AN20" s="19"/>
      <c r="AO20" s="19"/>
      <c r="AP20" s="19"/>
      <c r="AQ20" s="19"/>
      <c r="AR20" s="21"/>
      <c r="AS20" s="21"/>
      <c r="AT20" s="21"/>
      <c r="AU20" s="21"/>
      <c r="AV20" s="21"/>
      <c r="AW20" s="18"/>
      <c r="AX20" s="19"/>
      <c r="AY20" s="19"/>
      <c r="AZ20" s="19"/>
      <c r="BA20" s="19"/>
      <c r="BB20" s="25"/>
      <c r="BC20" s="25"/>
      <c r="BD20" s="25"/>
      <c r="BE20" s="25"/>
      <c r="BF20" s="25"/>
      <c r="BG20" s="19"/>
      <c r="BH20" s="19"/>
      <c r="BI20" s="19"/>
      <c r="BJ20" s="19"/>
      <c r="BK20" s="19"/>
      <c r="BL20" s="25"/>
      <c r="BM20" s="25"/>
      <c r="BN20" s="25"/>
      <c r="BO20" s="25"/>
      <c r="BP20" s="25"/>
      <c r="BQ20" s="89"/>
      <c r="BR20" s="88"/>
      <c r="BS20" s="88"/>
      <c r="BT20" s="88"/>
      <c r="BU20" s="88"/>
      <c r="BV20" s="22"/>
      <c r="BW20" s="22"/>
      <c r="BX20" s="22"/>
      <c r="BY20" s="22"/>
      <c r="BZ20" s="22"/>
      <c r="CA20" s="19"/>
      <c r="CB20" s="19"/>
      <c r="CC20" s="19"/>
      <c r="CD20" s="19"/>
      <c r="CE20" s="19"/>
      <c r="CF20" s="22"/>
      <c r="CG20" s="22"/>
      <c r="CH20" s="22"/>
      <c r="CI20" s="22"/>
      <c r="CJ20" s="22"/>
      <c r="CK20" s="18"/>
      <c r="CL20" s="19"/>
      <c r="CM20" s="19"/>
      <c r="CN20" s="19"/>
      <c r="CO20" s="19"/>
      <c r="CP20" s="18"/>
    </row>
    <row r="21" spans="2:94" ht="19.95" customHeight="1" thickBot="1" x14ac:dyDescent="0.35">
      <c r="B21" s="33">
        <v>3</v>
      </c>
      <c r="C21" s="34" t="s">
        <v>19</v>
      </c>
      <c r="D21" s="35"/>
      <c r="E21" s="97"/>
      <c r="F21" s="103"/>
      <c r="G21" s="36" t="str">
        <f t="shared" si="2"/>
        <v/>
      </c>
      <c r="H21" s="43"/>
      <c r="I21" s="3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6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6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6"/>
      <c r="CL21" s="17"/>
      <c r="CM21" s="17"/>
      <c r="CN21" s="17"/>
      <c r="CO21" s="17"/>
      <c r="CP21" s="16"/>
    </row>
    <row r="22" spans="2:94" ht="19.95" customHeight="1" thickBot="1" x14ac:dyDescent="0.35">
      <c r="B22" s="33" t="s">
        <v>29</v>
      </c>
      <c r="C22" s="85" t="s">
        <v>66</v>
      </c>
      <c r="D22" s="50" t="s">
        <v>55</v>
      </c>
      <c r="E22" s="96">
        <f>F20</f>
        <v>46335</v>
      </c>
      <c r="F22" s="102">
        <f t="shared" si="0"/>
        <v>46342</v>
      </c>
      <c r="G22" s="52">
        <v>5</v>
      </c>
      <c r="H22" s="42">
        <v>0</v>
      </c>
      <c r="I22" s="38"/>
      <c r="J22" s="19"/>
      <c r="K22" s="19"/>
      <c r="L22" s="19"/>
      <c r="M22" s="19"/>
      <c r="N22" s="20"/>
      <c r="O22" s="20"/>
      <c r="P22" s="20"/>
      <c r="Q22" s="20"/>
      <c r="R22" s="20"/>
      <c r="S22" s="19"/>
      <c r="T22" s="19"/>
      <c r="U22" s="19"/>
      <c r="V22" s="19"/>
      <c r="W22" s="19"/>
      <c r="X22" s="20"/>
      <c r="Y22" s="20"/>
      <c r="Z22" s="20"/>
      <c r="AA22" s="20"/>
      <c r="AB22" s="20"/>
      <c r="AC22" s="18"/>
      <c r="AD22" s="19"/>
      <c r="AE22" s="19"/>
      <c r="AF22" s="19"/>
      <c r="AG22" s="19"/>
      <c r="AH22" s="21"/>
      <c r="AI22" s="21"/>
      <c r="AJ22" s="21"/>
      <c r="AK22" s="21"/>
      <c r="AL22" s="21"/>
      <c r="AM22" s="19"/>
      <c r="AN22" s="19"/>
      <c r="AO22" s="19"/>
      <c r="AP22" s="19"/>
      <c r="AQ22" s="19"/>
      <c r="AR22" s="21"/>
      <c r="AS22" s="21"/>
      <c r="AT22" s="21"/>
      <c r="AU22" s="21"/>
      <c r="AV22" s="21"/>
      <c r="AW22" s="18"/>
      <c r="AX22" s="19"/>
      <c r="AY22" s="19"/>
      <c r="AZ22" s="19"/>
      <c r="BA22" s="19"/>
      <c r="BB22" s="25"/>
      <c r="BC22" s="25"/>
      <c r="BD22" s="25"/>
      <c r="BE22" s="25"/>
      <c r="BF22" s="25"/>
      <c r="BG22" s="19"/>
      <c r="BH22" s="19"/>
      <c r="BI22" s="19"/>
      <c r="BJ22" s="19"/>
      <c r="BK22" s="19"/>
      <c r="BL22" s="25"/>
      <c r="BM22" s="25"/>
      <c r="BN22" s="25"/>
      <c r="BO22" s="25"/>
      <c r="BP22" s="25"/>
      <c r="BQ22" s="18"/>
      <c r="BR22" s="19"/>
      <c r="BS22" s="19"/>
      <c r="BT22" s="19"/>
      <c r="BU22" s="19"/>
      <c r="BV22" s="88"/>
      <c r="BW22" s="88"/>
      <c r="BX22" s="88"/>
      <c r="BY22" s="88"/>
      <c r="BZ22" s="88"/>
      <c r="CA22" s="19"/>
      <c r="CB22" s="19"/>
      <c r="CC22" s="19"/>
      <c r="CD22" s="19"/>
      <c r="CE22" s="19"/>
      <c r="CF22" s="22"/>
      <c r="CG22" s="22"/>
      <c r="CH22" s="22"/>
      <c r="CI22" s="22"/>
      <c r="CJ22" s="22"/>
      <c r="CK22" s="18"/>
      <c r="CL22" s="19"/>
      <c r="CM22" s="19"/>
      <c r="CN22" s="19"/>
      <c r="CO22" s="19"/>
      <c r="CP22" s="18"/>
    </row>
    <row r="23" spans="2:94" ht="19.95" customHeight="1" thickBot="1" x14ac:dyDescent="0.35">
      <c r="B23" s="33" t="s">
        <v>30</v>
      </c>
      <c r="C23" s="86" t="s">
        <v>67</v>
      </c>
      <c r="D23" s="50" t="s">
        <v>55</v>
      </c>
      <c r="E23" s="96">
        <f t="shared" ref="E23:E24" si="4">F22</f>
        <v>46342</v>
      </c>
      <c r="F23" s="102">
        <f t="shared" si="0"/>
        <v>46349</v>
      </c>
      <c r="G23" s="52">
        <v>5</v>
      </c>
      <c r="H23" s="42">
        <v>0</v>
      </c>
      <c r="I23" s="38"/>
      <c r="J23" s="19"/>
      <c r="K23" s="19"/>
      <c r="L23" s="19"/>
      <c r="M23" s="19"/>
      <c r="N23" s="20"/>
      <c r="O23" s="20"/>
      <c r="P23" s="20"/>
      <c r="Q23" s="20"/>
      <c r="R23" s="20"/>
      <c r="S23" s="19"/>
      <c r="T23" s="19"/>
      <c r="U23" s="19"/>
      <c r="V23" s="19"/>
      <c r="W23" s="19"/>
      <c r="X23" s="20"/>
      <c r="Y23" s="20"/>
      <c r="Z23" s="20"/>
      <c r="AA23" s="20"/>
      <c r="AB23" s="20"/>
      <c r="AC23" s="18"/>
      <c r="AD23" s="19"/>
      <c r="AE23" s="19"/>
      <c r="AF23" s="19"/>
      <c r="AG23" s="19"/>
      <c r="AH23" s="21"/>
      <c r="AI23" s="21"/>
      <c r="AJ23" s="21"/>
      <c r="AK23" s="21"/>
      <c r="AL23" s="21"/>
      <c r="AM23" s="19"/>
      <c r="AN23" s="19"/>
      <c r="AO23" s="19"/>
      <c r="AP23" s="19"/>
      <c r="AQ23" s="19"/>
      <c r="AR23" s="21"/>
      <c r="AS23" s="21"/>
      <c r="AT23" s="21"/>
      <c r="AU23" s="21"/>
      <c r="AV23" s="21"/>
      <c r="AW23" s="18"/>
      <c r="AX23" s="19"/>
      <c r="AY23" s="19"/>
      <c r="AZ23" s="19"/>
      <c r="BA23" s="19"/>
      <c r="BB23" s="25"/>
      <c r="BC23" s="25"/>
      <c r="BD23" s="25"/>
      <c r="BE23" s="25"/>
      <c r="BF23" s="25"/>
      <c r="BG23" s="19"/>
      <c r="BH23" s="19"/>
      <c r="BI23" s="19"/>
      <c r="BJ23" s="19"/>
      <c r="BK23" s="19"/>
      <c r="BL23" s="25"/>
      <c r="BM23" s="25"/>
      <c r="BN23" s="25"/>
      <c r="BO23" s="25"/>
      <c r="BP23" s="25"/>
      <c r="BQ23" s="18"/>
      <c r="BR23" s="19"/>
      <c r="BS23" s="19"/>
      <c r="BT23" s="19"/>
      <c r="BU23" s="19"/>
      <c r="BV23" s="22"/>
      <c r="BW23" s="22"/>
      <c r="BX23" s="22"/>
      <c r="BY23" s="22"/>
      <c r="BZ23" s="22"/>
      <c r="CA23" s="88"/>
      <c r="CB23" s="88"/>
      <c r="CC23" s="88"/>
      <c r="CD23" s="88"/>
      <c r="CE23" s="88"/>
      <c r="CF23" s="22"/>
      <c r="CG23" s="22"/>
      <c r="CH23" s="22"/>
      <c r="CI23" s="22"/>
      <c r="CJ23" s="22"/>
      <c r="CK23" s="18"/>
      <c r="CL23" s="19"/>
      <c r="CM23" s="19"/>
      <c r="CN23" s="19"/>
      <c r="CO23" s="19"/>
      <c r="CP23" s="18"/>
    </row>
    <row r="24" spans="2:94" ht="19.95" customHeight="1" thickBot="1" x14ac:dyDescent="0.35">
      <c r="B24" s="33" t="s">
        <v>31</v>
      </c>
      <c r="C24" s="86" t="s">
        <v>68</v>
      </c>
      <c r="D24" s="50" t="s">
        <v>55</v>
      </c>
      <c r="E24" s="96">
        <f t="shared" si="4"/>
        <v>46349</v>
      </c>
      <c r="F24" s="102">
        <f t="shared" si="0"/>
        <v>46356</v>
      </c>
      <c r="G24" s="52">
        <v>5</v>
      </c>
      <c r="H24" s="42">
        <v>0</v>
      </c>
      <c r="I24" s="38"/>
      <c r="J24" s="19"/>
      <c r="K24" s="19"/>
      <c r="L24" s="19"/>
      <c r="M24" s="19"/>
      <c r="N24" s="20"/>
      <c r="O24" s="20"/>
      <c r="P24" s="20"/>
      <c r="Q24" s="20"/>
      <c r="R24" s="20"/>
      <c r="S24" s="19"/>
      <c r="T24" s="19"/>
      <c r="U24" s="19"/>
      <c r="V24" s="19"/>
      <c r="W24" s="19"/>
      <c r="X24" s="20"/>
      <c r="Y24" s="20"/>
      <c r="Z24" s="20"/>
      <c r="AA24" s="20"/>
      <c r="AB24" s="20"/>
      <c r="AC24" s="18"/>
      <c r="AD24" s="19"/>
      <c r="AE24" s="19"/>
      <c r="AF24" s="19"/>
      <c r="AG24" s="19"/>
      <c r="AH24" s="21"/>
      <c r="AI24" s="21"/>
      <c r="AJ24" s="21"/>
      <c r="AK24" s="21"/>
      <c r="AL24" s="21"/>
      <c r="AM24" s="19"/>
      <c r="AN24" s="19"/>
      <c r="AO24" s="19"/>
      <c r="AP24" s="19"/>
      <c r="AQ24" s="19"/>
      <c r="AR24" s="21"/>
      <c r="AS24" s="21"/>
      <c r="AT24" s="21"/>
      <c r="AU24" s="21"/>
      <c r="AV24" s="21"/>
      <c r="AW24" s="18"/>
      <c r="AX24" s="19"/>
      <c r="AY24" s="19"/>
      <c r="AZ24" s="19"/>
      <c r="BA24" s="19"/>
      <c r="BB24" s="25"/>
      <c r="BC24" s="25"/>
      <c r="BD24" s="25"/>
      <c r="BE24" s="25"/>
      <c r="BF24" s="25"/>
      <c r="BG24" s="19"/>
      <c r="BH24" s="19"/>
      <c r="BI24" s="19"/>
      <c r="BJ24" s="19"/>
      <c r="BK24" s="19"/>
      <c r="BL24" s="25"/>
      <c r="BM24" s="25"/>
      <c r="BN24" s="25"/>
      <c r="BO24" s="25"/>
      <c r="BP24" s="25"/>
      <c r="BQ24" s="18"/>
      <c r="BR24" s="19"/>
      <c r="BS24" s="19"/>
      <c r="BT24" s="19"/>
      <c r="BU24" s="19"/>
      <c r="BV24" s="22"/>
      <c r="BW24" s="22"/>
      <c r="BX24" s="22"/>
      <c r="BY24" s="22"/>
      <c r="BZ24" s="22"/>
      <c r="CA24" s="19"/>
      <c r="CB24" s="19"/>
      <c r="CC24" s="19"/>
      <c r="CD24" s="19"/>
      <c r="CE24" s="19"/>
      <c r="CF24" s="88"/>
      <c r="CG24" s="88"/>
      <c r="CH24" s="88"/>
      <c r="CI24" s="88"/>
      <c r="CJ24" s="88"/>
      <c r="CK24" s="18"/>
      <c r="CL24" s="19"/>
      <c r="CM24" s="19"/>
      <c r="CN24" s="19"/>
      <c r="CO24" s="19"/>
      <c r="CP24" s="18"/>
    </row>
    <row r="31" spans="2:94" ht="19.2" x14ac:dyDescent="0.35">
      <c r="C31" s="3"/>
    </row>
  </sheetData>
  <mergeCells count="22">
    <mergeCell ref="BV8:BZ8"/>
    <mergeCell ref="S8:W8"/>
    <mergeCell ref="AC8:AG8"/>
    <mergeCell ref="AH8:AL8"/>
    <mergeCell ref="AR8:AV8"/>
    <mergeCell ref="AW8:BA8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</mergeCells>
  <phoneticPr fontId="11" type="noConversion"/>
  <conditionalFormatting sqref="H10:H24">
    <cfRule type="dataBar" priority="6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BENJAMIN ENRIQUE MANCILLA VIGNES</cp:lastModifiedBy>
  <dcterms:created xsi:type="dcterms:W3CDTF">2016-03-21T16:06:55Z</dcterms:created>
  <dcterms:modified xsi:type="dcterms:W3CDTF">2026-09-16T01:55:14Z</dcterms:modified>
</cp:coreProperties>
</file>